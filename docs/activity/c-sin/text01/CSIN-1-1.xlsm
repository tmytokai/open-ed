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kai\Desktop\tmp\"/>
    </mc:Choice>
  </mc:AlternateContent>
  <bookViews>
    <workbookView xWindow="0" yWindow="0" windowWidth="27000" windowHeight="9435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B29" i="1" l="1"/>
  <c r="D3" i="1"/>
  <c r="D13" i="1" s="1"/>
  <c r="C3" i="1"/>
  <c r="C13" i="1" s="1"/>
  <c r="B3" i="1"/>
  <c r="B13" i="1" s="1"/>
  <c r="C27" i="1" l="1"/>
  <c r="D27" i="1"/>
  <c r="D30" i="1" l="1"/>
  <c r="D28" i="1"/>
  <c r="D29" i="1"/>
  <c r="C30" i="1"/>
  <c r="C28" i="1"/>
  <c r="C29" i="1"/>
</calcChain>
</file>

<file path=xl/sharedStrings.xml><?xml version="1.0" encoding="utf-8"?>
<sst xmlns="http://schemas.openxmlformats.org/spreadsheetml/2006/main" count="12" uniqueCount="9">
  <si>
    <t>直交形式</t>
  </si>
  <si>
    <t>極形式</t>
  </si>
  <si>
    <t>t [秒]</t>
  </si>
  <si>
    <t>ラベル</t>
  </si>
  <si>
    <t>Re[Z]</t>
  </si>
  <si>
    <t>Im[Z]</t>
  </si>
  <si>
    <t>|z(t)|</t>
  </si>
  <si>
    <t>∠z(t)</t>
  </si>
  <si>
    <t>以下の囲みの中には何も記入しないこと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</si>
</sst>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￥-411]#,##0;[Red]&quot;-&quot;[$￥-411]#,##0"/>
  </numFmts>
  <fonts count="8">
    <font>
      <sz val="11"/>
      <color theme="1"/>
      <name val="Liberation Sans"/>
      <family val="2"/>
    </font>
    <font>
      <b/>
      <i/>
      <sz val="16"/>
      <color theme="1"/>
      <name val="Liberation Sans"/>
      <family val="2"/>
    </font>
    <font>
      <b/>
      <i/>
      <u/>
      <sz val="11"/>
      <color theme="1"/>
      <name val="Liberation Sans"/>
      <family val="2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 textRotation="90"/>
    </xf>
    <xf numFmtId="0" fontId="2" fillId="0" borderId="0">
      <alignment vertical="center"/>
    </xf>
    <xf numFmtId="176" fontId="2" fillId="0" borderId="0">
      <alignment vertical="center"/>
    </xf>
  </cellStyleXfs>
  <cellXfs count="22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Protection="1">
      <alignment vertical="center"/>
      <protection locked="0"/>
    </xf>
    <xf numFmtId="0" fontId="5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Protection="1">
      <alignment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7" fillId="3" borderId="5" xfId="0" applyFont="1" applyFill="1" applyBorder="1" applyAlignment="1" applyProtection="1">
      <alignment horizontal="right" vertical="center"/>
      <protection locked="0"/>
    </xf>
    <xf numFmtId="0" fontId="7" fillId="3" borderId="0" xfId="0" applyFont="1" applyFill="1" applyBorder="1" applyAlignment="1" applyProtection="1">
      <alignment horizontal="right" vertical="center"/>
      <protection locked="0"/>
    </xf>
    <xf numFmtId="0" fontId="7" fillId="3" borderId="6" xfId="0" applyFont="1" applyFill="1" applyBorder="1" applyAlignment="1" applyProtection="1">
      <alignment horizontal="right" vertical="center"/>
      <protection locked="0"/>
    </xf>
    <xf numFmtId="0" fontId="7" fillId="3" borderId="5" xfId="0" applyFont="1" applyFill="1" applyBorder="1" applyProtection="1">
      <alignment vertical="center"/>
      <protection locked="0"/>
    </xf>
    <xf numFmtId="0" fontId="7" fillId="3" borderId="0" xfId="0" applyFont="1" applyFill="1" applyBorder="1" applyProtection="1">
      <alignment vertical="center"/>
      <protection locked="0"/>
    </xf>
    <xf numFmtId="0" fontId="7" fillId="3" borderId="6" xfId="0" applyFont="1" applyFill="1" applyBorder="1" applyProtection="1">
      <alignment vertical="center"/>
      <protection locked="0"/>
    </xf>
    <xf numFmtId="0" fontId="7" fillId="3" borderId="7" xfId="0" applyFont="1" applyFill="1" applyBorder="1" applyProtection="1">
      <alignment vertical="center"/>
      <protection locked="0"/>
    </xf>
    <xf numFmtId="0" fontId="7" fillId="3" borderId="8" xfId="0" applyFont="1" applyFill="1" applyBorder="1" applyProtection="1">
      <alignment vertical="center"/>
      <protection locked="0"/>
    </xf>
    <xf numFmtId="0" fontId="7" fillId="3" borderId="9" xfId="0" applyFont="1" applyFill="1" applyBorder="1" applyProtection="1">
      <alignment vertical="center"/>
      <protection locked="0"/>
    </xf>
  </cellXfs>
  <cellStyles count="5">
    <cellStyle name="Heading" xfId="1"/>
    <cellStyle name="Heading1" xfId="2"/>
    <cellStyle name="Result" xfId="3"/>
    <cellStyle name="Result2" xfId="4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Sheet1!$D$12:$D$12</c:f>
              <c:strCache>
                <c:ptCount val="1"/>
                <c:pt idx="0">
                  <c:v>Im[Z]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C142EFD6-81C5-4D4C-892F-86C517C07BC5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E20-4AA1-8445-2BD6F37CA9BA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AFC4D449-C796-4C9D-A380-F5FBF0C5CA5E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E20-4AA1-8445-2BD6F37CA9BA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8B735678-EF70-489A-A106-361A2382D9A0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E20-4AA1-8445-2BD6F37CA9BA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CC531FC2-A3D3-4653-B2B5-F1D71C89A280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E20-4AA1-8445-2BD6F37CA9BA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9E316E8C-689A-4D20-AC31-3EA86FF5BECF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E20-4AA1-8445-2BD6F37CA9BA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B69492C2-5EA2-4687-A49A-42D4E3D2B263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E20-4AA1-8445-2BD6F37CA9BA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849465ED-50A0-4000-BFB8-E752C84DDC68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E20-4AA1-8445-2BD6F37CA9BA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179CCB36-CB86-486C-8024-7C524D9C263A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E20-4AA1-8445-2BD6F37CA9BA}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08731B17-5DFD-4BAE-80B6-AAAE15572B66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E20-4AA1-8445-2BD6F37CA9BA}"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fld id="{803A414D-A43A-47F2-BF6D-9EF6AE68D826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E20-4AA1-8445-2BD6F37CA9BA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fld id="{634EC8A4-7F13-4D6B-B476-2C126985F676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E20-4AA1-8445-2BD6F37CA9BA}"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fld id="{99A17497-854D-45BF-9E9F-FA9A859E3485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E20-4AA1-8445-2BD6F37CA9B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xVal>
            <c:numRef>
              <c:f>Sheet1!$C$13:$C$24</c:f>
              <c:numCache>
                <c:formatCode>General</c:formatCode>
                <c:ptCount val="12"/>
                <c:pt idx="0">
                  <c:v>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xVal>
          <c:yVal>
            <c:numRef>
              <c:f>Sheet1!$D$13:$D$24</c:f>
              <c:numCache>
                <c:formatCode>General</c:formatCode>
                <c:ptCount val="12"/>
                <c:pt idx="0">
                  <c:v>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Sheet1!$B$13:$B$24</c15:f>
                <c15:dlblRangeCache>
                  <c:ptCount val="12"/>
                  <c:pt idx="0">
                    <c:v>z(0) </c:v>
                  </c:pt>
                  <c:pt idx="1">
                    <c:v>0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E20-4AA1-8445-2BD6F37CA9BA}"/>
            </c:ext>
          </c:extLst>
        </c:ser>
        <c:ser>
          <c:idx val="1"/>
          <c:order val="1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Sheet1!$C$26:$C$30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-0.17320508075688776</c:v>
                </c:pt>
                <c:pt idx="3">
                  <c:v>0</c:v>
                </c:pt>
                <c:pt idx="4">
                  <c:v>-0.17320508075688776</c:v>
                </c:pt>
              </c:numCache>
            </c:numRef>
          </c:xVal>
          <c:yVal>
            <c:numRef>
              <c:f>Sheet1!$D$26:$D$30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9.9999999999999992E-2</c:v>
                </c:pt>
                <c:pt idx="3">
                  <c:v>0</c:v>
                </c:pt>
                <c:pt idx="4">
                  <c:v>-9.9999999999999992E-2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20-4AA1-8445-2BD6F37CA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26432"/>
        <c:axId val="384923672"/>
      </c:scatterChart>
      <c:valAx>
        <c:axId val="38492367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ja-JP"/>
          </a:p>
        </c:txPr>
        <c:crossAx val="384026432"/>
        <c:crossesAt val="0"/>
        <c:crossBetween val="midCat"/>
        <c:majorUnit val="1"/>
      </c:valAx>
      <c:valAx>
        <c:axId val="384026432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ja-JP"/>
          </a:p>
        </c:txPr>
        <c:crossAx val="384923672"/>
        <c:crossesAt val="0"/>
        <c:crossBetween val="midCat"/>
        <c:majorUnit val="1"/>
      </c:valAx>
      <c:spPr>
        <a:noFill/>
        <a:ln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6047745" y="409484"/>
    <xdr:ext cx="6106320" cy="5385959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BCE797F-7F4B-4BED-9BAA-BF3A7C08E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4</xdr:row>
          <xdr:rowOff>19050</xdr:rowOff>
        </xdr:from>
        <xdr:to>
          <xdr:col>4</xdr:col>
          <xdr:colOff>180975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F58E6F0-25E2-4583-A1FF-BA9AAFDFD8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</xdr:row>
          <xdr:rowOff>0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0"/>
  <sheetViews>
    <sheetView tabSelected="1" workbookViewId="0">
      <selection activeCell="E8" sqref="E8"/>
    </sheetView>
  </sheetViews>
  <sheetFormatPr defaultRowHeight="18.75"/>
  <cols>
    <col min="1" max="1" width="10.625" style="2" customWidth="1"/>
    <col min="2" max="2" width="14.875" style="2" customWidth="1"/>
    <col min="3" max="6" width="10.625" style="2" customWidth="1"/>
    <col min="7" max="16384" width="9" style="2"/>
  </cols>
  <sheetData>
    <row r="1" spans="1:6">
      <c r="A1" s="1"/>
      <c r="B1" s="1"/>
      <c r="C1" s="6" t="s">
        <v>0</v>
      </c>
      <c r="D1" s="6"/>
      <c r="E1" s="6" t="s">
        <v>1</v>
      </c>
      <c r="F1" s="6"/>
    </row>
    <row r="2" spans="1:6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</row>
    <row r="3" spans="1:6">
      <c r="A3" s="8">
        <v>0</v>
      </c>
      <c r="B3" s="8" t="str">
        <f>"z("&amp;A3&amp; ") "</f>
        <v xml:space="preserve">z(0) </v>
      </c>
      <c r="C3" s="9">
        <f>E3*COS(F3)</f>
        <v>0</v>
      </c>
      <c r="D3" s="9">
        <f>E3*SIN(F3)</f>
        <v>0</v>
      </c>
      <c r="E3" s="4">
        <v>0</v>
      </c>
      <c r="F3" s="4">
        <v>0</v>
      </c>
    </row>
    <row r="10" spans="1:6">
      <c r="C10" s="5"/>
      <c r="D10" s="5"/>
    </row>
    <row r="11" spans="1:6">
      <c r="B11" s="7" t="s">
        <v>8</v>
      </c>
      <c r="C11" s="7"/>
      <c r="D11" s="7"/>
    </row>
    <row r="12" spans="1:6">
      <c r="B12" s="10" t="s">
        <v>3</v>
      </c>
      <c r="C12" s="11" t="s">
        <v>4</v>
      </c>
      <c r="D12" s="12" t="s">
        <v>5</v>
      </c>
      <c r="E12" s="1"/>
      <c r="F12" s="1"/>
    </row>
    <row r="13" spans="1:6">
      <c r="B13" s="13" t="str">
        <f>B3</f>
        <v xml:space="preserve">z(0) </v>
      </c>
      <c r="C13" s="14">
        <f t="shared" ref="C13:D13" si="0">C3</f>
        <v>0</v>
      </c>
      <c r="D13" s="15">
        <f t="shared" si="0"/>
        <v>0</v>
      </c>
      <c r="E13" s="1"/>
      <c r="F13" s="1"/>
    </row>
    <row r="14" spans="1:6">
      <c r="B14" s="16">
        <v>0</v>
      </c>
      <c r="C14" s="17">
        <v>100</v>
      </c>
      <c r="D14" s="18">
        <v>100</v>
      </c>
    </row>
    <row r="15" spans="1:6">
      <c r="B15" s="16">
        <v>1</v>
      </c>
      <c r="C15" s="17">
        <v>100</v>
      </c>
      <c r="D15" s="18">
        <v>100</v>
      </c>
    </row>
    <row r="16" spans="1:6">
      <c r="B16" s="16">
        <v>2</v>
      </c>
      <c r="C16" s="17">
        <v>100</v>
      </c>
      <c r="D16" s="18">
        <v>100</v>
      </c>
    </row>
    <row r="17" spans="2:4">
      <c r="B17" s="16">
        <v>3</v>
      </c>
      <c r="C17" s="17">
        <v>100</v>
      </c>
      <c r="D17" s="18">
        <v>100</v>
      </c>
    </row>
    <row r="18" spans="2:4">
      <c r="B18" s="16">
        <v>4</v>
      </c>
      <c r="C18" s="17">
        <v>100</v>
      </c>
      <c r="D18" s="18">
        <v>100</v>
      </c>
    </row>
    <row r="19" spans="2:4">
      <c r="B19" s="16">
        <v>5</v>
      </c>
      <c r="C19" s="17">
        <v>100</v>
      </c>
      <c r="D19" s="18">
        <v>100</v>
      </c>
    </row>
    <row r="20" spans="2:4">
      <c r="B20" s="16">
        <v>6</v>
      </c>
      <c r="C20" s="17">
        <v>100</v>
      </c>
      <c r="D20" s="18">
        <v>100</v>
      </c>
    </row>
    <row r="21" spans="2:4">
      <c r="B21" s="16">
        <v>7</v>
      </c>
      <c r="C21" s="17">
        <v>100</v>
      </c>
      <c r="D21" s="18">
        <v>100</v>
      </c>
    </row>
    <row r="22" spans="2:4">
      <c r="B22" s="16">
        <v>8</v>
      </c>
      <c r="C22" s="17">
        <v>100</v>
      </c>
      <c r="D22" s="18">
        <v>100</v>
      </c>
    </row>
    <row r="23" spans="2:4">
      <c r="B23" s="16">
        <v>9</v>
      </c>
      <c r="C23" s="17">
        <v>100</v>
      </c>
      <c r="D23" s="18">
        <v>100</v>
      </c>
    </row>
    <row r="24" spans="2:4">
      <c r="B24" s="16">
        <v>10</v>
      </c>
      <c r="C24" s="17">
        <v>100</v>
      </c>
      <c r="D24" s="18">
        <v>100</v>
      </c>
    </row>
    <row r="25" spans="2:4">
      <c r="B25" s="16"/>
      <c r="C25" s="17"/>
      <c r="D25" s="18"/>
    </row>
    <row r="26" spans="2:4">
      <c r="B26" s="16"/>
      <c r="C26" s="17">
        <v>0</v>
      </c>
      <c r="D26" s="18">
        <v>0</v>
      </c>
    </row>
    <row r="27" spans="2:4">
      <c r="B27" s="16"/>
      <c r="C27" s="17">
        <f>C3</f>
        <v>0</v>
      </c>
      <c r="D27" s="18">
        <f>D3</f>
        <v>0</v>
      </c>
    </row>
    <row r="28" spans="2:4">
      <c r="B28" s="16">
        <v>0.2</v>
      </c>
      <c r="C28" s="17">
        <f>C27+B28*COS(F3+B29)</f>
        <v>-0.17320508075688776</v>
      </c>
      <c r="D28" s="18">
        <f>D27+B28*SIN(F3+B29)</f>
        <v>9.9999999999999992E-2</v>
      </c>
    </row>
    <row r="29" spans="2:4">
      <c r="B29" s="16">
        <f>PI()*5/6</f>
        <v>2.6179938779914944</v>
      </c>
      <c r="C29" s="17">
        <f>C27</f>
        <v>0</v>
      </c>
      <c r="D29" s="18">
        <f>D27</f>
        <v>0</v>
      </c>
    </row>
    <row r="30" spans="2:4">
      <c r="B30" s="19"/>
      <c r="C30" s="20">
        <f>C27+B28*COS(F3-B29)</f>
        <v>-0.17320508075688776</v>
      </c>
      <c r="D30" s="21">
        <f>D27+B28*SIN(F3-B29)</f>
        <v>-9.9999999999999992E-2</v>
      </c>
    </row>
  </sheetData>
  <mergeCells count="3">
    <mergeCell ref="C1:D1"/>
    <mergeCell ref="E1:F1"/>
    <mergeCell ref="B11:D11"/>
  </mergeCells>
  <phoneticPr fontId="3"/>
  <pageMargins left="0" right="0" top="0.39370078740157477" bottom="0.39370078740157477" header="0" footer="0"/>
  <pageSetup paperSize="9" orientation="portrait" horizontalDpi="0" verticalDpi="0" r:id="rId1"/>
  <headerFooter>
    <oddHeader>&amp;C&amp;A</oddHeader>
    <oddFooter>&amp;Cページ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2</xdr:col>
                    <xdr:colOff>571500</xdr:colOff>
                    <xdr:row>4</xdr:row>
                    <xdr:rowOff>19050</xdr:rowOff>
                  </from>
                  <to>
                    <xdr:col>4</xdr:col>
                    <xdr:colOff>180975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4</xdr:col>
                    <xdr:colOff>409575</xdr:colOff>
                    <xdr:row>4</xdr:row>
                    <xdr:rowOff>0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56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tokai</dc:creator>
  <cp:lastModifiedBy>東海林</cp:lastModifiedBy>
  <cp:revision>19</cp:revision>
  <dcterms:created xsi:type="dcterms:W3CDTF">2017-05-24T11:04:56Z</dcterms:created>
  <dcterms:modified xsi:type="dcterms:W3CDTF">2018-05-25T05:07:32Z</dcterms:modified>
  <cp:contentStatus/>
</cp:coreProperties>
</file>