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okai\Desktop\tmp\"/>
    </mc:Choice>
  </mc:AlternateContent>
  <bookViews>
    <workbookView xWindow="0" yWindow="0" windowWidth="28800" windowHeight="12240"/>
  </bookViews>
  <sheets>
    <sheet name="Sheet1" sheetId="1" r:id="rId1"/>
  </sheets>
  <calcPr calcId="162913" fullCalcOnLoad="1"/>
</workbook>
</file>

<file path=xl/calcChain.xml><?xml version="1.0" encoding="utf-8"?>
<calcChain xmlns="http://schemas.openxmlformats.org/spreadsheetml/2006/main">
  <c r="E3" i="1" l="1"/>
  <c r="B17" i="1"/>
  <c r="B5" i="1"/>
  <c r="E4" i="1"/>
  <c r="B4" i="1"/>
  <c r="B3" i="1"/>
  <c r="F4" i="1" l="1"/>
  <c r="D4" i="1" s="1"/>
  <c r="D21" i="1" s="1"/>
  <c r="D22" i="1" s="1"/>
  <c r="F3" i="1"/>
  <c r="C3" i="1" s="1"/>
  <c r="C15" i="1" s="1"/>
  <c r="C4" i="1" l="1"/>
  <c r="C21" i="1" s="1"/>
  <c r="C23" i="1" s="1"/>
  <c r="D3" i="1"/>
  <c r="D27" i="1" s="1"/>
  <c r="D24" i="1"/>
  <c r="C27" i="1"/>
  <c r="D23" i="1"/>
  <c r="C16" i="1"/>
  <c r="C17" i="1"/>
  <c r="C18" i="1"/>
  <c r="C24" i="1" l="1"/>
  <c r="C5" i="1"/>
  <c r="C28" i="1" s="1"/>
  <c r="C31" i="1" s="1"/>
  <c r="C22" i="1"/>
  <c r="D5" i="1"/>
  <c r="D28" i="1" s="1"/>
  <c r="D29" i="1" s="1"/>
  <c r="D15" i="1"/>
  <c r="D17" i="1" s="1"/>
  <c r="C30" i="1" l="1"/>
  <c r="D18" i="1"/>
  <c r="D30" i="1"/>
  <c r="C29" i="1"/>
  <c r="D31" i="1"/>
  <c r="D16" i="1"/>
</calcChain>
</file>

<file path=xl/sharedStrings.xml><?xml version="1.0" encoding="utf-8"?>
<sst xmlns="http://schemas.openxmlformats.org/spreadsheetml/2006/main" count="14" uniqueCount="14">
  <si>
    <t>直交形式</t>
  </si>
  <si>
    <t>極形式</t>
  </si>
  <si>
    <t>t [秒]</t>
  </si>
  <si>
    <t>ラベル</t>
  </si>
  <si>
    <t>Re[Z]</t>
  </si>
  <si>
    <t>Im[Z]</t>
  </si>
  <si>
    <t>|z(t)|</t>
  </si>
  <si>
    <t>∠z(t)</t>
  </si>
  <si>
    <t>zの振幅</t>
  </si>
  <si>
    <t>zの初期位相</t>
  </si>
  <si>
    <t>zの角周波数</t>
  </si>
  <si>
    <t>以下の囲みの中には何も記入しないこと</t>
  </si>
  <si>
    <t>t</t>
  </si>
  <si>
    <t>f(t)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</si>
</sst>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[$￥-411]#,##0;[Red]&quot;-&quot;[$￥-411]#,##0"/>
  </numFmts>
  <fonts count="8">
    <font>
      <sz val="11"/>
      <color theme="1"/>
      <name val="Liberation Sans"/>
      <family val="2"/>
    </font>
    <font>
      <b/>
      <i/>
      <sz val="16"/>
      <color theme="1"/>
      <name val="Liberation Sans"/>
      <family val="2"/>
    </font>
    <font>
      <b/>
      <i/>
      <u/>
      <sz val="11"/>
      <color theme="1"/>
      <name val="Liberation Sans"/>
      <family val="2"/>
    </font>
    <font>
      <sz val="6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66"/>
        <bgColor rgb="FFFFFF66"/>
      </patternFill>
    </fill>
    <fill>
      <patternFill patternType="solid">
        <fgColor rgb="FFFFFFFF"/>
        <bgColor rgb="FFFFFFFF"/>
      </patternFill>
    </fill>
  </fills>
  <borders count="1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 textRotation="90"/>
    </xf>
    <xf numFmtId="0" fontId="2" fillId="0" borderId="0">
      <alignment vertical="center"/>
    </xf>
    <xf numFmtId="176" fontId="2" fillId="0" borderId="0">
      <alignment vertical="center"/>
    </xf>
  </cellStyleXfs>
  <cellXfs count="20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1" xfId="0" applyFont="1" applyFill="1" applyBorder="1">
      <alignment vertical="center"/>
    </xf>
    <xf numFmtId="0" fontId="4" fillId="2" borderId="1" xfId="0" applyFont="1" applyFill="1" applyBorder="1" applyProtection="1">
      <alignment vertical="center"/>
      <protection locked="0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7" fillId="3" borderId="2" xfId="0" applyFont="1" applyFill="1" applyBorder="1">
      <alignment vertical="center"/>
    </xf>
    <xf numFmtId="0" fontId="7" fillId="3" borderId="3" xfId="0" applyFont="1" applyFill="1" applyBorder="1">
      <alignment vertical="center"/>
    </xf>
    <xf numFmtId="0" fontId="7" fillId="3" borderId="4" xfId="0" applyFont="1" applyFill="1" applyBorder="1">
      <alignment vertical="center"/>
    </xf>
    <xf numFmtId="0" fontId="7" fillId="3" borderId="5" xfId="0" applyFont="1" applyFill="1" applyBorder="1">
      <alignment vertical="center"/>
    </xf>
    <xf numFmtId="0" fontId="7" fillId="3" borderId="0" xfId="0" applyFont="1" applyFill="1">
      <alignment vertical="center"/>
    </xf>
    <xf numFmtId="0" fontId="7" fillId="3" borderId="6" xfId="0" applyFont="1" applyFill="1" applyBorder="1">
      <alignment vertical="center"/>
    </xf>
    <xf numFmtId="0" fontId="7" fillId="3" borderId="0" xfId="0" applyFont="1" applyFill="1" applyBorder="1">
      <alignment vertical="center"/>
    </xf>
    <xf numFmtId="0" fontId="7" fillId="3" borderId="7" xfId="0" applyFont="1" applyFill="1" applyBorder="1">
      <alignment vertical="center"/>
    </xf>
    <xf numFmtId="0" fontId="7" fillId="3" borderId="8" xfId="0" applyFont="1" applyFill="1" applyBorder="1">
      <alignment vertical="center"/>
    </xf>
    <xf numFmtId="0" fontId="7" fillId="3" borderId="9" xfId="0" applyFont="1" applyFill="1" applyBorder="1">
      <alignment vertical="center"/>
    </xf>
  </cellXfs>
  <cellStyles count="5">
    <cellStyle name="Heading" xfId="1"/>
    <cellStyle name="Heading1" xfId="2"/>
    <cellStyle name="Result" xfId="3"/>
    <cellStyle name="Result2" xfId="4"/>
    <cellStyle name="標準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c:style val="2"/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Sheet1!$C$26:$C$31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-0.17320508075688776</c:v>
                </c:pt>
                <c:pt idx="4">
                  <c:v>0</c:v>
                </c:pt>
                <c:pt idx="5">
                  <c:v>-0.17320508075688776</c:v>
                </c:pt>
              </c:numCache>
            </c:numRef>
          </c:xVal>
          <c:yVal>
            <c:numRef>
              <c:f>Sheet1!$D$26:$D$31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9.9999999999999992E-2</c:v>
                </c:pt>
                <c:pt idx="4">
                  <c:v>0</c:v>
                </c:pt>
                <c:pt idx="5">
                  <c:v>-9.9999999999999992E-2</c:v>
                </c:pt>
              </c:numCache>
            </c:numRef>
          </c:yVal>
          <c:smooth val="0"/>
        </c:ser>
        <c:ser>
          <c:idx val="1"/>
          <c:order val="1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Sheet1!$C$14:$C$18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-0.17320508075688776</c:v>
                </c:pt>
                <c:pt idx="3">
                  <c:v>0</c:v>
                </c:pt>
                <c:pt idx="4">
                  <c:v>-0.17320508075688776</c:v>
                </c:pt>
              </c:numCache>
            </c:numRef>
          </c:xVal>
          <c:yVal>
            <c:numRef>
              <c:f>Sheet1!$D$14:$D$18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9.9999999999999992E-2</c:v>
                </c:pt>
                <c:pt idx="3">
                  <c:v>0</c:v>
                </c:pt>
                <c:pt idx="4">
                  <c:v>-9.9999999999999992E-2</c:v>
                </c:pt>
              </c:numCache>
            </c:numRef>
          </c:yVal>
          <c:smooth val="0"/>
        </c:ser>
        <c:ser>
          <c:idx val="2"/>
          <c:order val="2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Sheet1!$C$20:$C$24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-0.17320508075688776</c:v>
                </c:pt>
                <c:pt idx="3">
                  <c:v>0</c:v>
                </c:pt>
                <c:pt idx="4">
                  <c:v>-0.17320508075688776</c:v>
                </c:pt>
              </c:numCache>
            </c:numRef>
          </c:xVal>
          <c:yVal>
            <c:numRef>
              <c:f>Sheet1!$D$20:$D$24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9.9999999999999992E-2</c:v>
                </c:pt>
                <c:pt idx="3">
                  <c:v>0</c:v>
                </c:pt>
                <c:pt idx="4">
                  <c:v>-9.9999999999999992E-2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Sheet1!$D$2:$D$2</c:f>
              <c:strCache>
                <c:ptCount val="1"/>
                <c:pt idx="0">
                  <c:v>Im[Z]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fld id="{18407D03-10D9-4F54-82F0-29B1FCB4A8F4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060-4B76-9D42-9DE9E602CBF7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E7EBA7CF-DFDF-4E57-ACEB-696EDEA181F5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060-4B76-9D42-9DE9E602CBF7}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187AE7B4-8CE3-4294-9F5F-B5351C8E31F5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060-4B76-9D42-9DE9E602CBF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DataLabelsRange val="1"/>
                <c15:showLeaderLines val="0"/>
              </c:ext>
            </c:extLst>
          </c:dLbls>
          <c:xVal>
            <c:numRef>
              <c:f>Sheet1!$C$3:$C$5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Sheet1!$D$3:$D$5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Sheet1!$B$3:$B$5</c15:f>
                <c15:dlblRangeCache>
                  <c:ptCount val="3"/>
                  <c:pt idx="0">
                    <c:v>z1(0)</c:v>
                  </c:pt>
                  <c:pt idx="1">
                    <c:v>z2(0)</c:v>
                  </c:pt>
                  <c:pt idx="2">
                    <c:v>f(0) = z1 + z2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0385440"/>
        <c:axId val="2000387520"/>
      </c:scatterChart>
      <c:valAx>
        <c:axId val="2000387520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ja-JP"/>
          </a:p>
        </c:txPr>
        <c:crossAx val="2000385440"/>
        <c:crossesAt val="0"/>
        <c:crossBetween val="midCat"/>
        <c:majorUnit val="1"/>
      </c:valAx>
      <c:valAx>
        <c:axId val="2000385440"/>
        <c:scaling>
          <c:orientation val="minMax"/>
          <c:max val="5"/>
          <c:min val="-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ja-JP"/>
          </a:p>
        </c:txPr>
        <c:crossAx val="2000387520"/>
        <c:crossesAt val="0"/>
        <c:crossBetween val="midCat"/>
        <c:majorUnit val="1"/>
      </c:valAx>
      <c:spPr>
        <a:noFill/>
        <a:ln>
          <a:solidFill>
            <a:srgbClr val="B3B3B3"/>
          </a:solidFill>
          <a:prstDash val="solid"/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c:style val="2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Sheet1!$D$34:$D$34</c:f>
              <c:strCache>
                <c:ptCount val="1"/>
                <c:pt idx="0">
                  <c:v>f(t)</c:v>
                </c:pt>
              </c:strCache>
            </c:strRef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Sheet1!$C$35:$C$135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Sheet1!$D$35:$D$135</c:f>
              <c:numCache>
                <c:formatCode>General</c:formatCode>
                <c:ptCount val="10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0380448"/>
        <c:axId val="2000380032"/>
      </c:scatterChart>
      <c:valAx>
        <c:axId val="2000380032"/>
        <c:scaling>
          <c:orientation val="minMax"/>
          <c:max val="5"/>
          <c:min val="-5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ja-JP"/>
          </a:p>
        </c:txPr>
        <c:crossAx val="2000380448"/>
        <c:crossesAt val="0"/>
        <c:crossBetween val="midCat"/>
      </c:valAx>
      <c:valAx>
        <c:axId val="2000380448"/>
        <c:scaling>
          <c:orientation val="minMax"/>
          <c:max val="10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ja-JP"/>
          </a:p>
        </c:txPr>
        <c:crossAx val="2000380032"/>
        <c:crossesAt val="0"/>
        <c:crossBetween val="midCat"/>
      </c:valAx>
      <c:spPr>
        <a:noFill/>
        <a:ln>
          <a:solidFill>
            <a:srgbClr val="B3B3B3"/>
          </a:solidFill>
          <a:prstDash val="solid"/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952545" y="1556550"/>
    <xdr:ext cx="6106320" cy="5385959"/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10236450" y="408075"/>
    <xdr:ext cx="5759640" cy="3239640"/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8</xdr:col>
          <xdr:colOff>800100</xdr:colOff>
          <xdr:row>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5</xdr:row>
          <xdr:rowOff>19050</xdr:rowOff>
        </xdr:from>
        <xdr:to>
          <xdr:col>7</xdr:col>
          <xdr:colOff>590550</xdr:colOff>
          <xdr:row>6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35"/>
  <sheetViews>
    <sheetView tabSelected="1" workbookViewId="0">
      <selection activeCell="F6" sqref="F6"/>
    </sheetView>
  </sheetViews>
  <sheetFormatPr defaultRowHeight="18.75"/>
  <cols>
    <col min="1" max="1" width="10.625" style="3" customWidth="1"/>
    <col min="2" max="2" width="14.875" style="3" customWidth="1"/>
    <col min="3" max="9" width="10.625" style="3" customWidth="1"/>
    <col min="10" max="16384" width="9" style="3"/>
  </cols>
  <sheetData>
    <row r="1" spans="1:9">
      <c r="A1" s="1"/>
      <c r="B1" s="1"/>
      <c r="C1" s="2" t="s">
        <v>0</v>
      </c>
      <c r="D1" s="2"/>
      <c r="E1" s="2" t="s">
        <v>1</v>
      </c>
      <c r="F1" s="2"/>
      <c r="G1" s="1"/>
      <c r="H1" s="1"/>
      <c r="I1" s="1"/>
    </row>
    <row r="2" spans="1:9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4" t="s">
        <v>8</v>
      </c>
      <c r="H2" s="4" t="s">
        <v>9</v>
      </c>
      <c r="I2" s="4" t="s">
        <v>10</v>
      </c>
    </row>
    <row r="3" spans="1:9">
      <c r="A3" s="4">
        <v>0</v>
      </c>
      <c r="B3" s="4" t="str">
        <f>"z1("&amp;A3&amp; ")"</f>
        <v>z1(0)</v>
      </c>
      <c r="C3" s="5">
        <f>E3*COS(F3)</f>
        <v>0</v>
      </c>
      <c r="D3" s="5">
        <f>E3*SIN(F3)</f>
        <v>0</v>
      </c>
      <c r="E3" s="6">
        <f>G3</f>
        <v>0</v>
      </c>
      <c r="F3" s="6">
        <f>H3+I3*A3</f>
        <v>0</v>
      </c>
      <c r="G3" s="7">
        <v>0</v>
      </c>
      <c r="H3" s="7">
        <v>0</v>
      </c>
      <c r="I3" s="7">
        <v>0</v>
      </c>
    </row>
    <row r="4" spans="1:9">
      <c r="B4" s="4" t="str">
        <f>"z2("&amp;A3&amp; ")"</f>
        <v>z2(0)</v>
      </c>
      <c r="C4" s="5">
        <f>E4*COS(F4)</f>
        <v>0</v>
      </c>
      <c r="D4" s="5">
        <f>E4*SIN(F4)</f>
        <v>0</v>
      </c>
      <c r="E4" s="6">
        <f>G4</f>
        <v>0</v>
      </c>
      <c r="F4" s="6">
        <f>H4+I4*A3</f>
        <v>0</v>
      </c>
      <c r="G4" s="7">
        <v>0</v>
      </c>
      <c r="H4" s="7">
        <v>0</v>
      </c>
      <c r="I4" s="7">
        <v>0</v>
      </c>
    </row>
    <row r="5" spans="1:9">
      <c r="B5" s="4" t="str">
        <f>"f("&amp;A3&amp; ") = z1 + z2"</f>
        <v>f(0) = z1 + z2</v>
      </c>
      <c r="C5" s="6">
        <f>C3+C4</f>
        <v>0</v>
      </c>
      <c r="D5" s="6">
        <f>D3+D4</f>
        <v>0</v>
      </c>
    </row>
    <row r="12" spans="1:9">
      <c r="C12" s="8"/>
      <c r="D12" s="8"/>
    </row>
    <row r="13" spans="1:9">
      <c r="B13" s="9" t="s">
        <v>11</v>
      </c>
      <c r="C13" s="9"/>
      <c r="D13" s="9"/>
    </row>
    <row r="14" spans="1:9">
      <c r="B14" s="10"/>
      <c r="C14" s="11">
        <v>0</v>
      </c>
      <c r="D14" s="12">
        <v>0</v>
      </c>
      <c r="E14" s="1"/>
      <c r="F14" s="1"/>
    </row>
    <row r="15" spans="1:9">
      <c r="B15" s="13"/>
      <c r="C15" s="14">
        <f>C3</f>
        <v>0</v>
      </c>
      <c r="D15" s="15">
        <f>D3</f>
        <v>0</v>
      </c>
    </row>
    <row r="16" spans="1:9">
      <c r="B16" s="13">
        <v>0.2</v>
      </c>
      <c r="C16" s="14">
        <f>C15+B16*COS(F3+B17)</f>
        <v>-0.17320508075688776</v>
      </c>
      <c r="D16" s="15">
        <f>D15+B16*SIN(F3+B17)</f>
        <v>9.9999999999999992E-2</v>
      </c>
    </row>
    <row r="17" spans="2:4">
      <c r="B17" s="13">
        <f>PI()*5/6</f>
        <v>2.6179938779914944</v>
      </c>
      <c r="C17" s="14">
        <f>C15</f>
        <v>0</v>
      </c>
      <c r="D17" s="15">
        <f>D15</f>
        <v>0</v>
      </c>
    </row>
    <row r="18" spans="2:4">
      <c r="B18" s="13"/>
      <c r="C18" s="16">
        <f>C15+B16*COS(F3-B17)</f>
        <v>-0.17320508075688776</v>
      </c>
      <c r="D18" s="15">
        <f>D15+B16*SIN(F3-B17)</f>
        <v>-9.9999999999999992E-2</v>
      </c>
    </row>
    <row r="19" spans="2:4">
      <c r="B19" s="13"/>
      <c r="C19" s="14"/>
      <c r="D19" s="15"/>
    </row>
    <row r="20" spans="2:4">
      <c r="B20" s="13"/>
      <c r="C20" s="16">
        <v>0</v>
      </c>
      <c r="D20" s="15">
        <v>0</v>
      </c>
    </row>
    <row r="21" spans="2:4">
      <c r="B21" s="13"/>
      <c r="C21" s="14">
        <f>C4</f>
        <v>0</v>
      </c>
      <c r="D21" s="15">
        <f>D4</f>
        <v>0</v>
      </c>
    </row>
    <row r="22" spans="2:4">
      <c r="B22" s="13"/>
      <c r="C22" s="14">
        <f>C21+B16*COS(F4+B17)</f>
        <v>-0.17320508075688776</v>
      </c>
      <c r="D22" s="15">
        <f>D21+B16*SIN(F4+B17)</f>
        <v>9.9999999999999992E-2</v>
      </c>
    </row>
    <row r="23" spans="2:4">
      <c r="B23" s="13"/>
      <c r="C23" s="14">
        <f>C21</f>
        <v>0</v>
      </c>
      <c r="D23" s="15">
        <f>D21</f>
        <v>0</v>
      </c>
    </row>
    <row r="24" spans="2:4">
      <c r="B24" s="13"/>
      <c r="C24" s="14">
        <f>C21+B16*COS(F4-B17)</f>
        <v>-0.17320508075688776</v>
      </c>
      <c r="D24" s="15">
        <f>D21+B16*SIN(F4-B17)</f>
        <v>-9.9999999999999992E-2</v>
      </c>
    </row>
    <row r="25" spans="2:4">
      <c r="B25" s="13"/>
      <c r="C25" s="14"/>
      <c r="D25" s="15"/>
    </row>
    <row r="26" spans="2:4">
      <c r="B26" s="13"/>
      <c r="C26" s="14">
        <v>0</v>
      </c>
      <c r="D26" s="15">
        <v>0</v>
      </c>
    </row>
    <row r="27" spans="2:4">
      <c r="B27" s="13"/>
      <c r="C27" s="14">
        <f>C3</f>
        <v>0</v>
      </c>
      <c r="D27" s="15">
        <f>D3</f>
        <v>0</v>
      </c>
    </row>
    <row r="28" spans="2:4">
      <c r="B28" s="13"/>
      <c r="C28" s="14">
        <f>C5</f>
        <v>0</v>
      </c>
      <c r="D28" s="15">
        <f>D5</f>
        <v>0</v>
      </c>
    </row>
    <row r="29" spans="2:4">
      <c r="B29" s="13"/>
      <c r="C29" s="14">
        <f>C28+B16*COS(F4+B17)</f>
        <v>-0.17320508075688776</v>
      </c>
      <c r="D29" s="15">
        <f>D28+B16*SIN(F4+B17)</f>
        <v>9.9999999999999992E-2</v>
      </c>
    </row>
    <row r="30" spans="2:4">
      <c r="B30" s="13"/>
      <c r="C30" s="14">
        <f>C28</f>
        <v>0</v>
      </c>
      <c r="D30" s="15">
        <f>D28</f>
        <v>0</v>
      </c>
    </row>
    <row r="31" spans="2:4">
      <c r="B31" s="13"/>
      <c r="C31" s="14">
        <f>C28+B16*COS(F4-B17)</f>
        <v>-0.17320508075688776</v>
      </c>
      <c r="D31" s="15">
        <f>D28+B16*SIN(F4-B17)</f>
        <v>-9.9999999999999992E-2</v>
      </c>
    </row>
    <row r="32" spans="2:4">
      <c r="B32" s="13"/>
      <c r="C32" s="14"/>
      <c r="D32" s="15"/>
    </row>
    <row r="33" spans="2:4">
      <c r="B33" s="13"/>
      <c r="C33" s="14"/>
      <c r="D33" s="15"/>
    </row>
    <row r="34" spans="2:4">
      <c r="B34" s="13"/>
      <c r="C34" s="14" t="s">
        <v>12</v>
      </c>
      <c r="D34" s="15" t="s">
        <v>13</v>
      </c>
    </row>
    <row r="35" spans="2:4">
      <c r="B35" s="13"/>
      <c r="C35" s="14">
        <v>0</v>
      </c>
      <c r="D35" s="15">
        <v>100</v>
      </c>
    </row>
    <row r="36" spans="2:4">
      <c r="B36" s="13"/>
      <c r="C36" s="14">
        <v>0.1</v>
      </c>
      <c r="D36" s="15">
        <v>100</v>
      </c>
    </row>
    <row r="37" spans="2:4">
      <c r="B37" s="13"/>
      <c r="C37" s="14">
        <v>0.2</v>
      </c>
      <c r="D37" s="15">
        <v>100</v>
      </c>
    </row>
    <row r="38" spans="2:4">
      <c r="B38" s="13"/>
      <c r="C38" s="14">
        <v>0.3</v>
      </c>
      <c r="D38" s="15">
        <v>100</v>
      </c>
    </row>
    <row r="39" spans="2:4">
      <c r="B39" s="13"/>
      <c r="C39" s="14">
        <v>0.4</v>
      </c>
      <c r="D39" s="15">
        <v>100</v>
      </c>
    </row>
    <row r="40" spans="2:4">
      <c r="B40" s="13"/>
      <c r="C40" s="14">
        <v>0.5</v>
      </c>
      <c r="D40" s="15">
        <v>100</v>
      </c>
    </row>
    <row r="41" spans="2:4">
      <c r="B41" s="13"/>
      <c r="C41" s="14">
        <v>0.6</v>
      </c>
      <c r="D41" s="15">
        <v>100</v>
      </c>
    </row>
    <row r="42" spans="2:4">
      <c r="B42" s="13"/>
      <c r="C42" s="14">
        <v>0.7</v>
      </c>
      <c r="D42" s="15">
        <v>100</v>
      </c>
    </row>
    <row r="43" spans="2:4">
      <c r="B43" s="13"/>
      <c r="C43" s="14">
        <v>0.8</v>
      </c>
      <c r="D43" s="15">
        <v>100</v>
      </c>
    </row>
    <row r="44" spans="2:4">
      <c r="B44" s="13"/>
      <c r="C44" s="14">
        <v>0.9</v>
      </c>
      <c r="D44" s="15">
        <v>100</v>
      </c>
    </row>
    <row r="45" spans="2:4">
      <c r="B45" s="13"/>
      <c r="C45" s="14">
        <v>1</v>
      </c>
      <c r="D45" s="15">
        <v>100</v>
      </c>
    </row>
    <row r="46" spans="2:4">
      <c r="B46" s="13"/>
      <c r="C46" s="14">
        <v>1.1000000000000001</v>
      </c>
      <c r="D46" s="15">
        <v>100</v>
      </c>
    </row>
    <row r="47" spans="2:4">
      <c r="B47" s="13"/>
      <c r="C47" s="14">
        <v>1.2</v>
      </c>
      <c r="D47" s="15">
        <v>100</v>
      </c>
    </row>
    <row r="48" spans="2:4">
      <c r="B48" s="13"/>
      <c r="C48" s="14">
        <v>1.3</v>
      </c>
      <c r="D48" s="15">
        <v>100</v>
      </c>
    </row>
    <row r="49" spans="2:4">
      <c r="B49" s="13"/>
      <c r="C49" s="14">
        <v>1.4</v>
      </c>
      <c r="D49" s="15">
        <v>100</v>
      </c>
    </row>
    <row r="50" spans="2:4">
      <c r="B50" s="13"/>
      <c r="C50" s="14">
        <v>1.5</v>
      </c>
      <c r="D50" s="15">
        <v>100</v>
      </c>
    </row>
    <row r="51" spans="2:4">
      <c r="B51" s="13"/>
      <c r="C51" s="14">
        <v>1.6</v>
      </c>
      <c r="D51" s="15">
        <v>100</v>
      </c>
    </row>
    <row r="52" spans="2:4">
      <c r="B52" s="13"/>
      <c r="C52" s="14">
        <v>1.7</v>
      </c>
      <c r="D52" s="15">
        <v>100</v>
      </c>
    </row>
    <row r="53" spans="2:4">
      <c r="B53" s="13"/>
      <c r="C53" s="14">
        <v>1.8</v>
      </c>
      <c r="D53" s="15">
        <v>100</v>
      </c>
    </row>
    <row r="54" spans="2:4">
      <c r="B54" s="13"/>
      <c r="C54" s="14">
        <v>1.9</v>
      </c>
      <c r="D54" s="15">
        <v>100</v>
      </c>
    </row>
    <row r="55" spans="2:4">
      <c r="B55" s="13"/>
      <c r="C55" s="14">
        <v>2</v>
      </c>
      <c r="D55" s="15">
        <v>100</v>
      </c>
    </row>
    <row r="56" spans="2:4">
      <c r="B56" s="13"/>
      <c r="C56" s="14">
        <v>2.1</v>
      </c>
      <c r="D56" s="15">
        <v>100</v>
      </c>
    </row>
    <row r="57" spans="2:4">
      <c r="B57" s="13"/>
      <c r="C57" s="14">
        <v>2.2000000000000002</v>
      </c>
      <c r="D57" s="15">
        <v>100</v>
      </c>
    </row>
    <row r="58" spans="2:4">
      <c r="B58" s="13"/>
      <c r="C58" s="14">
        <v>2.2999999999999998</v>
      </c>
      <c r="D58" s="15">
        <v>100</v>
      </c>
    </row>
    <row r="59" spans="2:4">
      <c r="B59" s="13"/>
      <c r="C59" s="14">
        <v>2.4</v>
      </c>
      <c r="D59" s="15">
        <v>100</v>
      </c>
    </row>
    <row r="60" spans="2:4">
      <c r="B60" s="13"/>
      <c r="C60" s="14">
        <v>2.5</v>
      </c>
      <c r="D60" s="15">
        <v>100</v>
      </c>
    </row>
    <row r="61" spans="2:4">
      <c r="B61" s="13"/>
      <c r="C61" s="14">
        <v>2.6</v>
      </c>
      <c r="D61" s="15">
        <v>100</v>
      </c>
    </row>
    <row r="62" spans="2:4">
      <c r="B62" s="13"/>
      <c r="C62" s="14">
        <v>2.7</v>
      </c>
      <c r="D62" s="15">
        <v>100</v>
      </c>
    </row>
    <row r="63" spans="2:4">
      <c r="B63" s="13"/>
      <c r="C63" s="14">
        <v>2.8</v>
      </c>
      <c r="D63" s="15">
        <v>100</v>
      </c>
    </row>
    <row r="64" spans="2:4">
      <c r="B64" s="13"/>
      <c r="C64" s="14">
        <v>2.9</v>
      </c>
      <c r="D64" s="15">
        <v>100</v>
      </c>
    </row>
    <row r="65" spans="2:4">
      <c r="B65" s="13"/>
      <c r="C65" s="14">
        <v>3</v>
      </c>
      <c r="D65" s="15">
        <v>100</v>
      </c>
    </row>
    <row r="66" spans="2:4">
      <c r="B66" s="13"/>
      <c r="C66" s="14">
        <v>3.1</v>
      </c>
      <c r="D66" s="15">
        <v>100</v>
      </c>
    </row>
    <row r="67" spans="2:4">
      <c r="B67" s="13"/>
      <c r="C67" s="14">
        <v>3.2</v>
      </c>
      <c r="D67" s="15">
        <v>100</v>
      </c>
    </row>
    <row r="68" spans="2:4">
      <c r="B68" s="13"/>
      <c r="C68" s="14">
        <v>3.3</v>
      </c>
      <c r="D68" s="15">
        <v>100</v>
      </c>
    </row>
    <row r="69" spans="2:4">
      <c r="B69" s="13"/>
      <c r="C69" s="14">
        <v>3.4</v>
      </c>
      <c r="D69" s="15">
        <v>100</v>
      </c>
    </row>
    <row r="70" spans="2:4">
      <c r="B70" s="13"/>
      <c r="C70" s="14">
        <v>3.5</v>
      </c>
      <c r="D70" s="15">
        <v>100</v>
      </c>
    </row>
    <row r="71" spans="2:4">
      <c r="B71" s="13"/>
      <c r="C71" s="14">
        <v>3.6</v>
      </c>
      <c r="D71" s="15">
        <v>100</v>
      </c>
    </row>
    <row r="72" spans="2:4">
      <c r="B72" s="13"/>
      <c r="C72" s="14">
        <v>3.7</v>
      </c>
      <c r="D72" s="15">
        <v>100</v>
      </c>
    </row>
    <row r="73" spans="2:4">
      <c r="B73" s="13"/>
      <c r="C73" s="14">
        <v>3.8</v>
      </c>
      <c r="D73" s="15">
        <v>100</v>
      </c>
    </row>
    <row r="74" spans="2:4">
      <c r="B74" s="13"/>
      <c r="C74" s="14">
        <v>3.9</v>
      </c>
      <c r="D74" s="15">
        <v>100</v>
      </c>
    </row>
    <row r="75" spans="2:4">
      <c r="B75" s="13"/>
      <c r="C75" s="14">
        <v>4</v>
      </c>
      <c r="D75" s="15">
        <v>100</v>
      </c>
    </row>
    <row r="76" spans="2:4">
      <c r="B76" s="13"/>
      <c r="C76" s="14">
        <v>4.0999999999999996</v>
      </c>
      <c r="D76" s="15">
        <v>100</v>
      </c>
    </row>
    <row r="77" spans="2:4">
      <c r="B77" s="13"/>
      <c r="C77" s="14">
        <v>4.2</v>
      </c>
      <c r="D77" s="15">
        <v>100</v>
      </c>
    </row>
    <row r="78" spans="2:4">
      <c r="B78" s="13"/>
      <c r="C78" s="14">
        <v>4.3</v>
      </c>
      <c r="D78" s="15">
        <v>100</v>
      </c>
    </row>
    <row r="79" spans="2:4">
      <c r="B79" s="13"/>
      <c r="C79" s="14">
        <v>4.4000000000000004</v>
      </c>
      <c r="D79" s="15">
        <v>100</v>
      </c>
    </row>
    <row r="80" spans="2:4">
      <c r="B80" s="13"/>
      <c r="C80" s="14">
        <v>4.5</v>
      </c>
      <c r="D80" s="15">
        <v>100</v>
      </c>
    </row>
    <row r="81" spans="2:4">
      <c r="B81" s="13"/>
      <c r="C81" s="14">
        <v>4.5999999999999996</v>
      </c>
      <c r="D81" s="15">
        <v>100</v>
      </c>
    </row>
    <row r="82" spans="2:4">
      <c r="B82" s="13"/>
      <c r="C82" s="14">
        <v>4.7</v>
      </c>
      <c r="D82" s="15">
        <v>100</v>
      </c>
    </row>
    <row r="83" spans="2:4">
      <c r="B83" s="13"/>
      <c r="C83" s="14">
        <v>4.8</v>
      </c>
      <c r="D83" s="15">
        <v>100</v>
      </c>
    </row>
    <row r="84" spans="2:4">
      <c r="B84" s="13"/>
      <c r="C84" s="14">
        <v>4.9000000000000004</v>
      </c>
      <c r="D84" s="15">
        <v>100</v>
      </c>
    </row>
    <row r="85" spans="2:4">
      <c r="B85" s="13"/>
      <c r="C85" s="14">
        <v>5</v>
      </c>
      <c r="D85" s="15">
        <v>100</v>
      </c>
    </row>
    <row r="86" spans="2:4">
      <c r="B86" s="13"/>
      <c r="C86" s="14">
        <v>5.0999999999999996</v>
      </c>
      <c r="D86" s="15">
        <v>100</v>
      </c>
    </row>
    <row r="87" spans="2:4">
      <c r="B87" s="13"/>
      <c r="C87" s="14">
        <v>5.2</v>
      </c>
      <c r="D87" s="15">
        <v>100</v>
      </c>
    </row>
    <row r="88" spans="2:4">
      <c r="B88" s="13"/>
      <c r="C88" s="14">
        <v>5.3</v>
      </c>
      <c r="D88" s="15">
        <v>100</v>
      </c>
    </row>
    <row r="89" spans="2:4">
      <c r="B89" s="13"/>
      <c r="C89" s="14">
        <v>5.4</v>
      </c>
      <c r="D89" s="15">
        <v>100</v>
      </c>
    </row>
    <row r="90" spans="2:4">
      <c r="B90" s="13"/>
      <c r="C90" s="14">
        <v>5.5</v>
      </c>
      <c r="D90" s="15">
        <v>100</v>
      </c>
    </row>
    <row r="91" spans="2:4">
      <c r="B91" s="13"/>
      <c r="C91" s="14">
        <v>5.6</v>
      </c>
      <c r="D91" s="15">
        <v>100</v>
      </c>
    </row>
    <row r="92" spans="2:4">
      <c r="B92" s="13"/>
      <c r="C92" s="14">
        <v>5.7</v>
      </c>
      <c r="D92" s="15">
        <v>100</v>
      </c>
    </row>
    <row r="93" spans="2:4">
      <c r="B93" s="13"/>
      <c r="C93" s="14">
        <v>5.8</v>
      </c>
      <c r="D93" s="15">
        <v>100</v>
      </c>
    </row>
    <row r="94" spans="2:4">
      <c r="B94" s="13"/>
      <c r="C94" s="14">
        <v>5.9</v>
      </c>
      <c r="D94" s="15">
        <v>100</v>
      </c>
    </row>
    <row r="95" spans="2:4">
      <c r="B95" s="13"/>
      <c r="C95" s="14">
        <v>6</v>
      </c>
      <c r="D95" s="15">
        <v>100</v>
      </c>
    </row>
    <row r="96" spans="2:4">
      <c r="B96" s="13"/>
      <c r="C96" s="14">
        <v>6.1</v>
      </c>
      <c r="D96" s="15">
        <v>100</v>
      </c>
    </row>
    <row r="97" spans="2:4">
      <c r="B97" s="13"/>
      <c r="C97" s="14">
        <v>6.2</v>
      </c>
      <c r="D97" s="15">
        <v>100</v>
      </c>
    </row>
    <row r="98" spans="2:4">
      <c r="B98" s="13"/>
      <c r="C98" s="14">
        <v>6.3</v>
      </c>
      <c r="D98" s="15">
        <v>100</v>
      </c>
    </row>
    <row r="99" spans="2:4">
      <c r="B99" s="13"/>
      <c r="C99" s="14">
        <v>6.4</v>
      </c>
      <c r="D99" s="15">
        <v>100</v>
      </c>
    </row>
    <row r="100" spans="2:4">
      <c r="B100" s="13"/>
      <c r="C100" s="14">
        <v>6.5</v>
      </c>
      <c r="D100" s="15">
        <v>100</v>
      </c>
    </row>
    <row r="101" spans="2:4">
      <c r="B101" s="13"/>
      <c r="C101" s="14">
        <v>6.6</v>
      </c>
      <c r="D101" s="15">
        <v>100</v>
      </c>
    </row>
    <row r="102" spans="2:4">
      <c r="B102" s="13"/>
      <c r="C102" s="14">
        <v>6.7</v>
      </c>
      <c r="D102" s="15">
        <v>100</v>
      </c>
    </row>
    <row r="103" spans="2:4">
      <c r="B103" s="13"/>
      <c r="C103" s="14">
        <v>6.8</v>
      </c>
      <c r="D103" s="15">
        <v>100</v>
      </c>
    </row>
    <row r="104" spans="2:4">
      <c r="B104" s="13"/>
      <c r="C104" s="14">
        <v>6.9</v>
      </c>
      <c r="D104" s="15">
        <v>100</v>
      </c>
    </row>
    <row r="105" spans="2:4">
      <c r="B105" s="13"/>
      <c r="C105" s="14">
        <v>7</v>
      </c>
      <c r="D105" s="15">
        <v>100</v>
      </c>
    </row>
    <row r="106" spans="2:4">
      <c r="B106" s="13"/>
      <c r="C106" s="14">
        <v>7.1</v>
      </c>
      <c r="D106" s="15">
        <v>100</v>
      </c>
    </row>
    <row r="107" spans="2:4">
      <c r="B107" s="13"/>
      <c r="C107" s="14">
        <v>7.2</v>
      </c>
      <c r="D107" s="15">
        <v>100</v>
      </c>
    </row>
    <row r="108" spans="2:4">
      <c r="B108" s="13"/>
      <c r="C108" s="14">
        <v>7.3</v>
      </c>
      <c r="D108" s="15">
        <v>100</v>
      </c>
    </row>
    <row r="109" spans="2:4">
      <c r="B109" s="13"/>
      <c r="C109" s="14">
        <v>7.4</v>
      </c>
      <c r="D109" s="15">
        <v>100</v>
      </c>
    </row>
    <row r="110" spans="2:4">
      <c r="B110" s="13"/>
      <c r="C110" s="14">
        <v>7.5</v>
      </c>
      <c r="D110" s="15">
        <v>100</v>
      </c>
    </row>
    <row r="111" spans="2:4">
      <c r="B111" s="13"/>
      <c r="C111" s="14">
        <v>7.6</v>
      </c>
      <c r="D111" s="15">
        <v>100</v>
      </c>
    </row>
    <row r="112" spans="2:4">
      <c r="B112" s="13"/>
      <c r="C112" s="14">
        <v>7.7</v>
      </c>
      <c r="D112" s="15">
        <v>100</v>
      </c>
    </row>
    <row r="113" spans="2:4">
      <c r="B113" s="13"/>
      <c r="C113" s="14">
        <v>7.8</v>
      </c>
      <c r="D113" s="15">
        <v>100</v>
      </c>
    </row>
    <row r="114" spans="2:4">
      <c r="B114" s="13"/>
      <c r="C114" s="14">
        <v>7.9</v>
      </c>
      <c r="D114" s="15">
        <v>100</v>
      </c>
    </row>
    <row r="115" spans="2:4">
      <c r="B115" s="13"/>
      <c r="C115" s="14">
        <v>8</v>
      </c>
      <c r="D115" s="15">
        <v>100</v>
      </c>
    </row>
    <row r="116" spans="2:4">
      <c r="B116" s="13"/>
      <c r="C116" s="14">
        <v>8.1</v>
      </c>
      <c r="D116" s="15">
        <v>100</v>
      </c>
    </row>
    <row r="117" spans="2:4">
      <c r="B117" s="13"/>
      <c r="C117" s="14">
        <v>8.1999999999999993</v>
      </c>
      <c r="D117" s="15">
        <v>100</v>
      </c>
    </row>
    <row r="118" spans="2:4">
      <c r="B118" s="13"/>
      <c r="C118" s="14">
        <v>8.3000000000000007</v>
      </c>
      <c r="D118" s="15">
        <v>100</v>
      </c>
    </row>
    <row r="119" spans="2:4">
      <c r="B119" s="13"/>
      <c r="C119" s="14">
        <v>8.4</v>
      </c>
      <c r="D119" s="15">
        <v>100</v>
      </c>
    </row>
    <row r="120" spans="2:4">
      <c r="B120" s="13"/>
      <c r="C120" s="14">
        <v>8.5</v>
      </c>
      <c r="D120" s="15">
        <v>100</v>
      </c>
    </row>
    <row r="121" spans="2:4">
      <c r="B121" s="13"/>
      <c r="C121" s="14">
        <v>8.6</v>
      </c>
      <c r="D121" s="15">
        <v>100</v>
      </c>
    </row>
    <row r="122" spans="2:4">
      <c r="B122" s="13"/>
      <c r="C122" s="14">
        <v>8.6999999999999993</v>
      </c>
      <c r="D122" s="15">
        <v>100</v>
      </c>
    </row>
    <row r="123" spans="2:4">
      <c r="B123" s="13"/>
      <c r="C123" s="14">
        <v>8.8000000000000007</v>
      </c>
      <c r="D123" s="15">
        <v>100</v>
      </c>
    </row>
    <row r="124" spans="2:4">
      <c r="B124" s="13"/>
      <c r="C124" s="14">
        <v>8.9</v>
      </c>
      <c r="D124" s="15">
        <v>100</v>
      </c>
    </row>
    <row r="125" spans="2:4">
      <c r="B125" s="13"/>
      <c r="C125" s="14">
        <v>9</v>
      </c>
      <c r="D125" s="15">
        <v>100</v>
      </c>
    </row>
    <row r="126" spans="2:4">
      <c r="B126" s="13"/>
      <c r="C126" s="14">
        <v>9.1</v>
      </c>
      <c r="D126" s="15">
        <v>100</v>
      </c>
    </row>
    <row r="127" spans="2:4">
      <c r="B127" s="13"/>
      <c r="C127" s="14">
        <v>9.1999999999999993</v>
      </c>
      <c r="D127" s="15">
        <v>100</v>
      </c>
    </row>
    <row r="128" spans="2:4">
      <c r="B128" s="13"/>
      <c r="C128" s="14">
        <v>9.3000000000000007</v>
      </c>
      <c r="D128" s="15">
        <v>100</v>
      </c>
    </row>
    <row r="129" spans="2:4">
      <c r="B129" s="13"/>
      <c r="C129" s="14">
        <v>9.4</v>
      </c>
      <c r="D129" s="15">
        <v>100</v>
      </c>
    </row>
    <row r="130" spans="2:4">
      <c r="B130" s="13"/>
      <c r="C130" s="14">
        <v>9.5</v>
      </c>
      <c r="D130" s="15">
        <v>100</v>
      </c>
    </row>
    <row r="131" spans="2:4">
      <c r="B131" s="13"/>
      <c r="C131" s="14">
        <v>9.6</v>
      </c>
      <c r="D131" s="15">
        <v>100</v>
      </c>
    </row>
    <row r="132" spans="2:4">
      <c r="B132" s="13"/>
      <c r="C132" s="14">
        <v>9.6999999999999993</v>
      </c>
      <c r="D132" s="15">
        <v>100</v>
      </c>
    </row>
    <row r="133" spans="2:4">
      <c r="B133" s="13"/>
      <c r="C133" s="14">
        <v>9.8000000000000007</v>
      </c>
      <c r="D133" s="15">
        <v>100</v>
      </c>
    </row>
    <row r="134" spans="2:4">
      <c r="B134" s="13"/>
      <c r="C134" s="14">
        <v>9.9</v>
      </c>
      <c r="D134" s="15">
        <v>100</v>
      </c>
    </row>
    <row r="135" spans="2:4">
      <c r="B135" s="17"/>
      <c r="C135" s="18">
        <v>10</v>
      </c>
      <c r="D135" s="19">
        <v>100</v>
      </c>
    </row>
  </sheetData>
  <mergeCells count="3">
    <mergeCell ref="C1:D1"/>
    <mergeCell ref="E1:F1"/>
    <mergeCell ref="B13:D13"/>
  </mergeCells>
  <phoneticPr fontId="3"/>
  <pageMargins left="0" right="0" top="0.39370078740157477" bottom="0.39370078740157477" header="0" footer="0"/>
  <pageSetup paperSize="9" orientation="portrait" r:id="rId1"/>
  <headerFooter>
    <oddHeader>&amp;C&amp;A</oddHeader>
    <oddFooter>&amp;Cページ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lear">
                <anchor moveWithCells="1" sizeWithCells="1">
                  <from>
                    <xdr:col>8</xdr:col>
                    <xdr:colOff>0</xdr:colOff>
                    <xdr:row>5</xdr:row>
                    <xdr:rowOff>9525</xdr:rowOff>
                  </from>
                  <to>
                    <xdr:col>8</xdr:col>
                    <xdr:colOff>800100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">
                <anchor moveWithCells="1" sizeWithCells="1">
                  <from>
                    <xdr:col>6</xdr:col>
                    <xdr:colOff>590550</xdr:colOff>
                    <xdr:row>5</xdr:row>
                    <xdr:rowOff>19050</xdr:rowOff>
                  </from>
                  <to>
                    <xdr:col>7</xdr:col>
                    <xdr:colOff>590550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116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東海林</dc:creator>
  <cp:lastModifiedBy>東海林</cp:lastModifiedBy>
  <cp:revision>25</cp:revision>
  <dcterms:created xsi:type="dcterms:W3CDTF">2017-05-24T11:04:56Z</dcterms:created>
  <dcterms:modified xsi:type="dcterms:W3CDTF">2018-05-25T06:23:15Z</dcterms:modified>
</cp:coreProperties>
</file>