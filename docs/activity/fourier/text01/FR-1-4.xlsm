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okai\Downloads\"/>
    </mc:Choice>
  </mc:AlternateContent>
  <bookViews>
    <workbookView xWindow="0" yWindow="0" windowWidth="28800" windowHeight="12240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H5" i="1" l="1"/>
  <c r="H7" i="1"/>
  <c r="G7" i="1"/>
  <c r="E7" i="1" s="1"/>
  <c r="E10" i="1"/>
  <c r="I13" i="1"/>
  <c r="F13" i="1" s="1"/>
  <c r="E13" i="1"/>
  <c r="B13" i="1"/>
  <c r="E12" i="1"/>
  <c r="B12" i="1"/>
  <c r="B11" i="1"/>
  <c r="B10" i="1"/>
  <c r="E9" i="1"/>
  <c r="B9" i="1"/>
  <c r="H8" i="1"/>
  <c r="G8" i="1"/>
  <c r="E8" i="1" s="1"/>
  <c r="B8" i="1"/>
  <c r="B7" i="1"/>
  <c r="H6" i="1"/>
  <c r="G6" i="1"/>
  <c r="E6" i="1" s="1"/>
  <c r="B6" i="1"/>
  <c r="G5" i="1"/>
  <c r="E5" i="1" s="1"/>
  <c r="B5" i="1"/>
  <c r="E11" i="1" l="1"/>
  <c r="I7" i="1"/>
  <c r="F7" i="1" s="1"/>
  <c r="D7" i="1" s="1"/>
  <c r="I12" i="1"/>
  <c r="F12" i="1" s="1"/>
  <c r="I5" i="1"/>
  <c r="F5" i="1" s="1"/>
  <c r="C5" i="1" s="1"/>
  <c r="I8" i="1"/>
  <c r="F8" i="1" s="1"/>
  <c r="C8" i="1" s="1"/>
  <c r="I9" i="1"/>
  <c r="F9" i="1" s="1"/>
  <c r="C9" i="1" s="1"/>
  <c r="I6" i="1"/>
  <c r="F6" i="1" s="1"/>
  <c r="C6" i="1" s="1"/>
  <c r="I10" i="1"/>
  <c r="F10" i="1" s="1"/>
  <c r="I11" i="1"/>
  <c r="F11" i="1" s="1"/>
  <c r="C13" i="1"/>
  <c r="D13" i="1"/>
  <c r="C11" i="1" l="1"/>
  <c r="C7" i="1"/>
  <c r="D6" i="1"/>
  <c r="D9" i="1"/>
  <c r="D8" i="1"/>
  <c r="D5" i="1"/>
  <c r="C10" i="1"/>
  <c r="D10" i="1"/>
  <c r="C12" i="1"/>
  <c r="D12" i="1"/>
  <c r="D11" i="1"/>
</calcChain>
</file>

<file path=xl/sharedStrings.xml><?xml version="1.0" encoding="utf-8"?>
<sst xmlns="http://schemas.openxmlformats.org/spreadsheetml/2006/main" count="14" uniqueCount="14">
  <si>
    <t>t [秒]</t>
  </si>
  <si>
    <t>基本角周波数</t>
  </si>
  <si>
    <t>直交形式</t>
  </si>
  <si>
    <t>極形式</t>
  </si>
  <si>
    <t>フーリエ係数 C[k]</t>
  </si>
  <si>
    <t>k</t>
  </si>
  <si>
    <t>ラベル</t>
  </si>
  <si>
    <t>Re[Z]</t>
  </si>
  <si>
    <t>Im[Z]</t>
  </si>
  <si>
    <t>|z(t)|</t>
  </si>
  <si>
    <t>∠z(t)</t>
  </si>
  <si>
    <t>絶対値</t>
  </si>
  <si>
    <t>偏角</t>
  </si>
  <si>
    <t>角周波数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</si>
</sst>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[$￥-411]#,##0;[Red]&quot;-&quot;[$￥-411]#,##0"/>
  </numFmts>
  <fonts count="6">
    <font>
      <sz val="11"/>
      <color theme="1"/>
      <name val="Liberation Sans"/>
      <family val="2"/>
    </font>
    <font>
      <b/>
      <i/>
      <sz val="16"/>
      <color theme="1"/>
      <name val="Liberation Sans"/>
      <family val="2"/>
    </font>
    <font>
      <b/>
      <i/>
      <u/>
      <sz val="11"/>
      <color theme="1"/>
      <name val="Liberation Sans"/>
      <family val="2"/>
    </font>
    <font>
      <b/>
      <sz val="11"/>
      <color theme="1"/>
      <name val="Liberation Sans"/>
      <family val="2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66"/>
        <bgColor rgb="FFFFFF66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1" fillId="0" borderId="0">
      <alignment horizontal="center" vertical="center"/>
    </xf>
    <xf numFmtId="0" fontId="1" fillId="0" borderId="0">
      <alignment horizontal="center" vertical="center" textRotation="90"/>
    </xf>
    <xf numFmtId="0" fontId="2" fillId="0" borderId="0">
      <alignment vertical="center"/>
    </xf>
    <xf numFmtId="176" fontId="2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Protection="1">
      <alignment vertical="center"/>
    </xf>
    <xf numFmtId="0" fontId="0" fillId="3" borderId="1" xfId="0" applyFill="1" applyBorder="1" applyProtection="1">
      <alignment vertical="center"/>
      <protection locked="0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</cellXfs>
  <cellStyles count="5">
    <cellStyle name="Heading" xfId="1"/>
    <cellStyle name="Heading1" xfId="2"/>
    <cellStyle name="Result" xfId="3"/>
    <cellStyle name="Result2" xfId="4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c:style val="2"/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Sheet1!$D$16:$D$16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circle"/>
            <c:size val="7"/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E74C4748-25DD-4A7B-85C1-F534A9B8058F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233-4FD1-89B2-D8466F047F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12D46E5-6ADB-43CB-A5A0-B2549A406FC5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33-4FD1-89B2-D8466F047F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92B70C-3684-464A-AF4D-789FBE717143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33-4FD1-89B2-D8466F047F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57ADA7-5E30-4E06-BB96-4E11A851D8B5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33-4FD1-89B2-D8466F047F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2CF723-862D-485E-9C37-5ED571AB792B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33-4FD1-89B2-D8466F047F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2A912B3-CD7A-43DE-8C2A-9CBD32B5AF44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33-4FD1-89B2-D8466F047F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580991-87E4-4D65-A17E-2563C5EAAE89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33-4FD1-89B2-D8466F047F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ED0031-9D1F-478A-9C5D-DFB3D19C8404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33-4FD1-89B2-D8466F047F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E9BE4B4-5432-4309-A43E-BCC729741BB6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33-4FD1-89B2-D8466F047F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/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Sheet1!$C$5:$C$13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Sheet1!$D$5:$D$13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Sheet1!$B$5:$B$13</c15:f>
                <c15:dlblRangeCache>
                  <c:ptCount val="9"/>
                  <c:pt idx="0">
                    <c:v>k= -4</c:v>
                  </c:pt>
                  <c:pt idx="1">
                    <c:v>k= -3</c:v>
                  </c:pt>
                  <c:pt idx="2">
                    <c:v>k= -2</c:v>
                  </c:pt>
                  <c:pt idx="3">
                    <c:v>k= -1</c:v>
                  </c:pt>
                  <c:pt idx="4">
                    <c:v>k= 0</c:v>
                  </c:pt>
                  <c:pt idx="5">
                    <c:v>k= 1</c:v>
                  </c:pt>
                  <c:pt idx="6">
                    <c:v>k= 2</c:v>
                  </c:pt>
                  <c:pt idx="7">
                    <c:v>k= 3</c:v>
                  </c:pt>
                  <c:pt idx="8">
                    <c:v>k= 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51-47DB-9E8D-0C6D24018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1961264"/>
        <c:axId val="1101206720"/>
      </c:scatterChart>
      <c:valAx>
        <c:axId val="1101206720"/>
        <c:scaling>
          <c:orientation val="minMax"/>
          <c:max val="3"/>
          <c:min val="-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ja-JP"/>
          </a:p>
        </c:txPr>
        <c:crossAx val="1141961264"/>
        <c:crossesAt val="0"/>
        <c:crossBetween val="midCat"/>
        <c:majorUnit val="1"/>
      </c:valAx>
      <c:valAx>
        <c:axId val="1141961264"/>
        <c:scaling>
          <c:orientation val="minMax"/>
          <c:max val="3"/>
          <c:min val="-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/>
            </a:pPr>
            <a:endParaRPr lang="ja-JP"/>
          </a:p>
        </c:txPr>
        <c:crossAx val="1101206720"/>
        <c:crossesAt val="0"/>
        <c:crossBetween val="midCat"/>
        <c:majorUnit val="1"/>
      </c:valAx>
      <c:spPr>
        <a:noFill/>
        <a:ln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936905" y="463740"/>
    <xdr:ext cx="6106320" cy="5385959"/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14</xdr:row>
          <xdr:rowOff>9525</xdr:rowOff>
        </xdr:from>
        <xdr:to>
          <xdr:col>4</xdr:col>
          <xdr:colOff>790575</xdr:colOff>
          <xdr:row>15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14</xdr:row>
          <xdr:rowOff>0</xdr:rowOff>
        </xdr:from>
        <xdr:to>
          <xdr:col>6</xdr:col>
          <xdr:colOff>9525</xdr:colOff>
          <xdr:row>15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7"/>
  <sheetViews>
    <sheetView tabSelected="1" workbookViewId="0">
      <selection activeCell="E19" sqref="E19"/>
    </sheetView>
  </sheetViews>
  <sheetFormatPr defaultRowHeight="14.25"/>
  <cols>
    <col min="1" max="1" width="10.625" customWidth="1"/>
    <col min="2" max="2" width="14.875" customWidth="1"/>
    <col min="3" max="9" width="10.625" customWidth="1"/>
  </cols>
  <sheetData>
    <row r="1" spans="1:9">
      <c r="A1" s="1" t="s">
        <v>0</v>
      </c>
      <c r="B1" s="1" t="s">
        <v>1</v>
      </c>
      <c r="G1" s="2"/>
      <c r="H1" s="2"/>
      <c r="I1" s="2"/>
    </row>
    <row r="2" spans="1:9">
      <c r="A2" s="10">
        <v>0.8</v>
      </c>
      <c r="B2" s="3">
        <v>0</v>
      </c>
    </row>
    <row r="3" spans="1:9">
      <c r="C3" s="9" t="s">
        <v>2</v>
      </c>
      <c r="D3" s="9"/>
      <c r="E3" s="9" t="s">
        <v>3</v>
      </c>
      <c r="F3" s="9"/>
      <c r="G3" s="9" t="s">
        <v>4</v>
      </c>
      <c r="H3" s="9"/>
    </row>
    <row r="4" spans="1:9">
      <c r="A4" s="1" t="s">
        <v>5</v>
      </c>
      <c r="B4" s="1" t="s">
        <v>6</v>
      </c>
      <c r="C4" s="1" t="s">
        <v>7</v>
      </c>
      <c r="D4" s="1" t="s">
        <v>8</v>
      </c>
      <c r="E4" s="1" t="s">
        <v>9</v>
      </c>
      <c r="F4" s="1" t="s">
        <v>10</v>
      </c>
      <c r="G4" s="1" t="s">
        <v>11</v>
      </c>
      <c r="H4" s="1" t="s">
        <v>12</v>
      </c>
      <c r="I4" s="1" t="s">
        <v>13</v>
      </c>
    </row>
    <row r="5" spans="1:9">
      <c r="A5" s="1">
        <v>-4</v>
      </c>
      <c r="B5" s="1" t="str">
        <f t="shared" ref="B5:B13" si="0">"k= "&amp;A5</f>
        <v>k= -4</v>
      </c>
      <c r="C5" s="4">
        <f t="shared" ref="C5:C13" si="1">E5*COS(F5)</f>
        <v>0</v>
      </c>
      <c r="D5" s="4">
        <f t="shared" ref="D5:D13" si="2">E5*SIN(F5)</f>
        <v>0</v>
      </c>
      <c r="E5" s="5">
        <f t="shared" ref="E5:E13" si="3">G5</f>
        <v>0</v>
      </c>
      <c r="F5" s="5">
        <f t="shared" ref="F5:F13" si="4">H5+I5*$A$2</f>
        <v>0</v>
      </c>
      <c r="G5" s="6">
        <f>G13</f>
        <v>0</v>
      </c>
      <c r="H5" s="6">
        <f>-H13</f>
        <v>0</v>
      </c>
      <c r="I5" s="6">
        <f t="shared" ref="I5:I13" si="5">A5*$B$2</f>
        <v>0</v>
      </c>
    </row>
    <row r="6" spans="1:9">
      <c r="A6" s="1">
        <v>-3</v>
      </c>
      <c r="B6" s="1" t="str">
        <f t="shared" si="0"/>
        <v>k= -3</v>
      </c>
      <c r="C6" s="4">
        <f t="shared" si="1"/>
        <v>0</v>
      </c>
      <c r="D6" s="4">
        <f t="shared" si="2"/>
        <v>0</v>
      </c>
      <c r="E6" s="5">
        <f t="shared" si="3"/>
        <v>0</v>
      </c>
      <c r="F6" s="5">
        <f t="shared" si="4"/>
        <v>0</v>
      </c>
      <c r="G6" s="6">
        <f>G12</f>
        <v>0</v>
      </c>
      <c r="H6" s="6">
        <f>-H12</f>
        <v>0</v>
      </c>
      <c r="I6" s="6">
        <f t="shared" si="5"/>
        <v>0</v>
      </c>
    </row>
    <row r="7" spans="1:9">
      <c r="A7" s="1">
        <v>-2</v>
      </c>
      <c r="B7" s="1" t="str">
        <f t="shared" si="0"/>
        <v>k= -2</v>
      </c>
      <c r="C7" s="4">
        <f t="shared" si="1"/>
        <v>0</v>
      </c>
      <c r="D7" s="4">
        <f t="shared" si="2"/>
        <v>0</v>
      </c>
      <c r="E7" s="5">
        <f t="shared" si="3"/>
        <v>0</v>
      </c>
      <c r="F7" s="5">
        <f t="shared" si="4"/>
        <v>0</v>
      </c>
      <c r="G7" s="6">
        <f>G11</f>
        <v>0</v>
      </c>
      <c r="H7" s="6">
        <f>-H11</f>
        <v>0</v>
      </c>
      <c r="I7" s="6">
        <f t="shared" si="5"/>
        <v>0</v>
      </c>
    </row>
    <row r="8" spans="1:9">
      <c r="A8" s="1">
        <v>-1</v>
      </c>
      <c r="B8" s="1" t="str">
        <f t="shared" si="0"/>
        <v>k= -1</v>
      </c>
      <c r="C8" s="4">
        <f t="shared" si="1"/>
        <v>0</v>
      </c>
      <c r="D8" s="4">
        <f t="shared" si="2"/>
        <v>0</v>
      </c>
      <c r="E8" s="5">
        <f t="shared" si="3"/>
        <v>0</v>
      </c>
      <c r="F8" s="5">
        <f t="shared" si="4"/>
        <v>0</v>
      </c>
      <c r="G8" s="6">
        <f>G10</f>
        <v>0</v>
      </c>
      <c r="H8" s="6">
        <f>-H10</f>
        <v>0</v>
      </c>
      <c r="I8" s="6">
        <f t="shared" si="5"/>
        <v>0</v>
      </c>
    </row>
    <row r="9" spans="1:9">
      <c r="A9" s="1">
        <v>0</v>
      </c>
      <c r="B9" s="1" t="str">
        <f t="shared" si="0"/>
        <v>k= 0</v>
      </c>
      <c r="C9" s="4">
        <f t="shared" si="1"/>
        <v>0</v>
      </c>
      <c r="D9" s="4">
        <f t="shared" si="2"/>
        <v>0</v>
      </c>
      <c r="E9" s="5">
        <f t="shared" si="3"/>
        <v>0</v>
      </c>
      <c r="F9" s="5">
        <f t="shared" si="4"/>
        <v>0</v>
      </c>
      <c r="G9" s="7">
        <v>0</v>
      </c>
      <c r="H9" s="7">
        <v>0</v>
      </c>
      <c r="I9" s="6">
        <f t="shared" si="5"/>
        <v>0</v>
      </c>
    </row>
    <row r="10" spans="1:9">
      <c r="A10" s="1">
        <v>1</v>
      </c>
      <c r="B10" s="1" t="str">
        <f t="shared" si="0"/>
        <v>k= 1</v>
      </c>
      <c r="C10" s="4">
        <f t="shared" si="1"/>
        <v>0</v>
      </c>
      <c r="D10" s="4">
        <f t="shared" si="2"/>
        <v>0</v>
      </c>
      <c r="E10" s="5">
        <f t="shared" si="3"/>
        <v>0</v>
      </c>
      <c r="F10" s="5">
        <f t="shared" si="4"/>
        <v>0</v>
      </c>
      <c r="G10" s="7">
        <v>0</v>
      </c>
      <c r="H10" s="7">
        <v>0</v>
      </c>
      <c r="I10" s="6">
        <f t="shared" si="5"/>
        <v>0</v>
      </c>
    </row>
    <row r="11" spans="1:9">
      <c r="A11" s="1">
        <v>2</v>
      </c>
      <c r="B11" s="1" t="str">
        <f t="shared" si="0"/>
        <v>k= 2</v>
      </c>
      <c r="C11" s="4">
        <f t="shared" si="1"/>
        <v>0</v>
      </c>
      <c r="D11" s="4">
        <f t="shared" si="2"/>
        <v>0</v>
      </c>
      <c r="E11" s="5">
        <f t="shared" si="3"/>
        <v>0</v>
      </c>
      <c r="F11" s="5">
        <f t="shared" si="4"/>
        <v>0</v>
      </c>
      <c r="G11" s="7">
        <v>0</v>
      </c>
      <c r="H11" s="7">
        <v>0</v>
      </c>
      <c r="I11" s="6">
        <f t="shared" si="5"/>
        <v>0</v>
      </c>
    </row>
    <row r="12" spans="1:9">
      <c r="A12" s="1">
        <v>3</v>
      </c>
      <c r="B12" s="1" t="str">
        <f t="shared" si="0"/>
        <v>k= 3</v>
      </c>
      <c r="C12" s="4">
        <f t="shared" si="1"/>
        <v>0</v>
      </c>
      <c r="D12" s="4">
        <f t="shared" si="2"/>
        <v>0</v>
      </c>
      <c r="E12" s="5">
        <f t="shared" si="3"/>
        <v>0</v>
      </c>
      <c r="F12" s="5">
        <f t="shared" si="4"/>
        <v>0</v>
      </c>
      <c r="G12" s="7">
        <v>0</v>
      </c>
      <c r="H12" s="7">
        <v>0</v>
      </c>
      <c r="I12" s="6">
        <f t="shared" si="5"/>
        <v>0</v>
      </c>
    </row>
    <row r="13" spans="1:9">
      <c r="A13" s="1">
        <v>4</v>
      </c>
      <c r="B13" s="1" t="str">
        <f t="shared" si="0"/>
        <v>k= 4</v>
      </c>
      <c r="C13" s="4">
        <f t="shared" si="1"/>
        <v>0</v>
      </c>
      <c r="D13" s="4">
        <f t="shared" si="2"/>
        <v>0</v>
      </c>
      <c r="E13" s="5">
        <f t="shared" si="3"/>
        <v>0</v>
      </c>
      <c r="F13" s="5">
        <f t="shared" si="4"/>
        <v>0</v>
      </c>
      <c r="G13" s="7">
        <v>0</v>
      </c>
      <c r="H13" s="7">
        <v>0</v>
      </c>
      <c r="I13" s="6">
        <f t="shared" si="5"/>
        <v>0</v>
      </c>
    </row>
    <row r="14" spans="1:9" ht="15">
      <c r="C14" s="8"/>
      <c r="D14" s="8"/>
    </row>
    <row r="16" spans="1:9">
      <c r="E16" s="2"/>
      <c r="F16" s="2"/>
    </row>
    <row r="17" spans="5:6">
      <c r="E17" s="2"/>
      <c r="F17" s="2"/>
    </row>
  </sheetData>
  <sheetProtection sheet="1" objects="1" scenarios="1"/>
  <mergeCells count="3">
    <mergeCell ref="C3:D3"/>
    <mergeCell ref="E3:F3"/>
    <mergeCell ref="G3:H3"/>
  </mergeCells>
  <phoneticPr fontId="4"/>
  <pageMargins left="0" right="0" top="0.39370078740157477" bottom="0.39370078740157477" header="0" footer="0"/>
  <pageSetup paperSize="9" orientation="portrait" r:id="rId1"/>
  <headerFooter>
    <oddHeader>&amp;C&amp;A</oddHeader>
    <oddFooter>&amp;Cページ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3</xdr:col>
                    <xdr:colOff>800100</xdr:colOff>
                    <xdr:row>14</xdr:row>
                    <xdr:rowOff>9525</xdr:rowOff>
                  </from>
                  <to>
                    <xdr:col>4</xdr:col>
                    <xdr:colOff>790575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114300</xdr:colOff>
                    <xdr:row>14</xdr:row>
                    <xdr:rowOff>0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89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東海林</dc:creator>
  <cp:lastModifiedBy>東海林</cp:lastModifiedBy>
  <cp:revision>24</cp:revision>
  <dcterms:created xsi:type="dcterms:W3CDTF">2017-05-24T11:04:56Z</dcterms:created>
  <dcterms:modified xsi:type="dcterms:W3CDTF">2018-06-15T05:11:02Z</dcterms:modified>
</cp:coreProperties>
</file>